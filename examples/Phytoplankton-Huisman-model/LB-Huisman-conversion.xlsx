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enrico/Dropbox/2-Recherche/ch4-project/examples/Phytoplankton-Huisman-model/"/>
    </mc:Choice>
  </mc:AlternateContent>
  <xr:revisionPtr revIDLastSave="0" documentId="13_ncr:1_{BFDF27A7-B290-FB43-BDAB-29B9EF728695}" xr6:coauthVersionLast="47" xr6:coauthVersionMax="47" xr10:uidLastSave="{00000000-0000-0000-0000-000000000000}"/>
  <bookViews>
    <workbookView xWindow="140" yWindow="1120" windowWidth="26760" windowHeight="19120" xr2:uid="{00000000-000D-0000-FFFF-FFFF00000000}"/>
  </bookViews>
  <sheets>
    <sheet name="Sheet 1 - Conversion from Phy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1" l="1"/>
  <c r="B19" i="1"/>
  <c r="D19" i="1" s="1"/>
  <c r="F19" i="1" s="1"/>
  <c r="B24" i="1" s="1"/>
  <c r="D17" i="1"/>
  <c r="B28" i="1" s="1"/>
  <c r="D16" i="1"/>
  <c r="B31" i="1" s="1"/>
  <c r="D15" i="1"/>
  <c r="B29" i="1" s="1"/>
  <c r="D14" i="1"/>
  <c r="B30" i="1" s="1"/>
  <c r="B13" i="1"/>
  <c r="D13" i="1" s="1"/>
  <c r="B26" i="1" s="1"/>
  <c r="B11" i="1"/>
  <c r="D11" i="1" s="1"/>
  <c r="B27" i="1" s="1"/>
  <c r="B9" i="1"/>
  <c r="D9" i="1" s="1"/>
  <c r="D7" i="1"/>
  <c r="B23" i="1" s="1"/>
  <c r="B6" i="1"/>
  <c r="B25" i="1" l="1"/>
  <c r="F9" i="1"/>
</calcChain>
</file>

<file path=xl/sharedStrings.xml><?xml version="1.0" encoding="utf-8"?>
<sst xmlns="http://schemas.openxmlformats.org/spreadsheetml/2006/main" count="46" uniqueCount="41">
  <si>
    <t>Conversion from Physical to LB units for Huisman model</t>
  </si>
  <si>
    <t xml:space="preserve">Physical value </t>
  </si>
  <si>
    <t>Physical unit</t>
  </si>
  <si>
    <t xml:space="preserve">LB value </t>
  </si>
  <si>
    <t xml:space="preserve">Time units </t>
  </si>
  <si>
    <t>[s]</t>
  </si>
  <si>
    <t xml:space="preserve">Space units </t>
  </si>
  <si>
    <t>[m]</t>
  </si>
  <si>
    <t>Velocity unit</t>
  </si>
  <si>
    <t>[m/s]</t>
  </si>
  <si>
    <t>Water column depth</t>
  </si>
  <si>
    <t xml:space="preserve"> N</t>
  </si>
  <si>
    <t>Settling velocity</t>
  </si>
  <si>
    <t>[m/h]</t>
  </si>
  <si>
    <t>check velocity:</t>
  </si>
  <si>
    <t xml:space="preserve">Maximal specific production rate </t>
  </si>
  <si>
    <t>[1/h]</t>
  </si>
  <si>
    <t>[1/s]</t>
  </si>
  <si>
    <t>Specific loss rate</t>
  </si>
  <si>
    <t>Specific light attenuation</t>
  </si>
  <si>
    <t>[m^2/cell]</t>
  </si>
  <si>
    <t>Background turbidity</t>
  </si>
  <si>
    <t>[1/m]</t>
  </si>
  <si>
    <t>Incident ligt intensity</t>
  </si>
  <si>
    <t>[mu mol photons /(m^2 s)]</t>
  </si>
  <si>
    <t>Half saturation</t>
  </si>
  <si>
    <t>Turbulent diffusion</t>
  </si>
  <si>
    <t>[cm^2/s]</t>
  </si>
  <si>
    <t>[m^2/s]</t>
  </si>
  <si>
    <t>tau_s</t>
  </si>
  <si>
    <t>Phytoplankton population density</t>
  </si>
  <si>
    <t>[cell / m^3]</t>
  </si>
  <si>
    <r>
      <rPr>
        <b/>
        <u/>
        <sz val="10"/>
        <color indexed="8"/>
        <rFont val="Helvetica Neue"/>
      </rPr>
      <t>param.in</t>
    </r>
    <r>
      <rPr>
        <b/>
        <sz val="10"/>
        <color indexed="8"/>
        <rFont val="Helvetica Neue"/>
      </rPr>
      <t xml:space="preserve"> </t>
    </r>
  </si>
  <si>
    <t>NY</t>
  </si>
  <si>
    <t>settling_velocity</t>
  </si>
  <si>
    <t>loss_rate</t>
  </si>
  <si>
    <t>max_production_rate</t>
  </si>
  <si>
    <t>half_saturation_constant</t>
  </si>
  <si>
    <t>background_turbidity</t>
  </si>
  <si>
    <t>phytoplankton_specific_lght_attenuation</t>
  </si>
  <si>
    <t>incident_light_intensity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</si>
</sst>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######E+00"/>
  </numFmts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b/>
      <u/>
      <sz val="10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0"/>
      </top>
      <bottom style="thin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49" fontId="2" fillId="3" borderId="10" xfId="0" applyNumberFormat="1" applyFont="1" applyFill="1" applyBorder="1" applyAlignment="1">
      <alignment vertical="top" wrapText="1"/>
    </xf>
    <xf numFmtId="0" fontId="0" fillId="4" borderId="11" xfId="0" applyNumberFormat="1" applyFont="1" applyFill="1" applyBorder="1" applyAlignment="1">
      <alignment vertical="top" wrapText="1"/>
    </xf>
    <xf numFmtId="49" fontId="0" fillId="0" borderId="12" xfId="0" applyNumberFormat="1" applyFont="1" applyBorder="1" applyAlignment="1">
      <alignment vertical="top" wrapText="1"/>
    </xf>
    <xf numFmtId="0" fontId="0" fillId="0" borderId="12" xfId="0" applyNumberFormat="1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5" borderId="11" xfId="0" applyNumberFormat="1" applyFont="1" applyFill="1" applyBorder="1" applyAlignment="1">
      <alignment vertical="top" wrapText="1"/>
    </xf>
    <xf numFmtId="0" fontId="0" fillId="0" borderId="11" xfId="0" applyNumberFormat="1" applyFont="1" applyBorder="1" applyAlignment="1">
      <alignment vertical="top" wrapText="1"/>
    </xf>
    <xf numFmtId="49" fontId="2" fillId="6" borderId="10" xfId="0" applyNumberFormat="1" applyFont="1" applyFill="1" applyBorder="1" applyAlignment="1">
      <alignment vertical="top" wrapText="1"/>
    </xf>
    <xf numFmtId="0" fontId="0" fillId="6" borderId="11" xfId="0" applyNumberFormat="1" applyFont="1" applyFill="1" applyBorder="1" applyAlignment="1">
      <alignment vertical="top" wrapText="1"/>
    </xf>
    <xf numFmtId="49" fontId="0" fillId="6" borderId="12" xfId="0" applyNumberFormat="1" applyFont="1" applyFill="1" applyBorder="1" applyAlignment="1">
      <alignment vertical="top" wrapText="1"/>
    </xf>
    <xf numFmtId="0" fontId="0" fillId="6" borderId="12" xfId="0" applyNumberFormat="1" applyFont="1" applyFill="1" applyBorder="1" applyAlignment="1">
      <alignment vertical="top" wrapText="1"/>
    </xf>
    <xf numFmtId="49" fontId="2" fillId="7" borderId="10" xfId="0" applyNumberFormat="1" applyFont="1" applyFill="1" applyBorder="1" applyAlignment="1">
      <alignment vertical="top" wrapText="1"/>
    </xf>
    <xf numFmtId="0" fontId="0" fillId="7" borderId="11" xfId="0" applyNumberFormat="1" applyFont="1" applyFill="1" applyBorder="1" applyAlignment="1">
      <alignment vertical="top" wrapText="1"/>
    </xf>
    <xf numFmtId="49" fontId="0" fillId="7" borderId="12" xfId="0" applyNumberFormat="1" applyFont="1" applyFill="1" applyBorder="1" applyAlignment="1">
      <alignment vertical="top" wrapText="1"/>
    </xf>
    <xf numFmtId="0" fontId="0" fillId="7" borderId="12" xfId="0" applyFont="1" applyFill="1" applyBorder="1" applyAlignment="1">
      <alignment vertical="top" wrapText="1"/>
    </xf>
    <xf numFmtId="0" fontId="2" fillId="7" borderId="10" xfId="0" applyFont="1" applyFill="1" applyBorder="1" applyAlignment="1">
      <alignment vertical="top" wrapText="1"/>
    </xf>
    <xf numFmtId="0" fontId="0" fillId="7" borderId="12" xfId="0" applyNumberFormat="1" applyFont="1" applyFill="1" applyBorder="1" applyAlignment="1">
      <alignment vertical="top" wrapText="1"/>
    </xf>
    <xf numFmtId="49" fontId="2" fillId="7" borderId="12" xfId="0" applyNumberFormat="1" applyFont="1" applyFill="1" applyBorder="1" applyAlignment="1">
      <alignment vertical="top" wrapText="1"/>
    </xf>
    <xf numFmtId="0" fontId="0" fillId="7" borderId="13" xfId="0" applyNumberFormat="1" applyFont="1" applyFill="1" applyBorder="1" applyAlignment="1">
      <alignment vertical="top" wrapText="1"/>
    </xf>
    <xf numFmtId="0" fontId="0" fillId="6" borderId="12" xfId="0" applyFont="1" applyFill="1" applyBorder="1" applyAlignment="1">
      <alignment vertical="top" wrapText="1"/>
    </xf>
    <xf numFmtId="0" fontId="2" fillId="6" borderId="10" xfId="0" applyFont="1" applyFill="1" applyBorder="1" applyAlignment="1">
      <alignment vertical="top" wrapText="1"/>
    </xf>
    <xf numFmtId="164" fontId="0" fillId="6" borderId="11" xfId="0" applyNumberFormat="1" applyFont="1" applyFill="1" applyBorder="1" applyAlignment="1">
      <alignment vertical="top" wrapText="1"/>
    </xf>
    <xf numFmtId="49" fontId="2" fillId="6" borderId="12" xfId="0" applyNumberFormat="1" applyFont="1" applyFill="1" applyBorder="1" applyAlignment="1">
      <alignment vertical="top" wrapText="1"/>
    </xf>
    <xf numFmtId="0" fontId="0" fillId="6" borderId="13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0" fillId="0" borderId="11" xfId="0" applyFont="1" applyBorder="1" applyAlignment="1">
      <alignment vertical="top" wrapText="1"/>
    </xf>
    <xf numFmtId="49" fontId="2" fillId="3" borderId="15" xfId="0" applyNumberFormat="1" applyFont="1" applyFill="1" applyBorder="1" applyAlignment="1">
      <alignment vertical="top" wrapText="1"/>
    </xf>
    <xf numFmtId="0" fontId="0" fillId="0" borderId="16" xfId="0" applyNumberFormat="1" applyFont="1" applyBorder="1" applyAlignment="1">
      <alignment vertical="top" wrapText="1"/>
    </xf>
    <xf numFmtId="49" fontId="0" fillId="0" borderId="17" xfId="0" applyNumberFormat="1" applyFont="1" applyBorder="1" applyAlignment="1">
      <alignment vertical="top" wrapText="1"/>
    </xf>
    <xf numFmtId="0" fontId="0" fillId="0" borderId="17" xfId="0" applyNumberFormat="1" applyFont="1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18" xfId="0" applyFont="1" applyBorder="1" applyAlignment="1">
      <alignment vertical="top" wrapText="1"/>
    </xf>
    <xf numFmtId="49" fontId="2" fillId="8" borderId="19" xfId="0" applyNumberFormat="1" applyFont="1" applyFill="1" applyBorder="1" applyAlignment="1">
      <alignment vertical="top" wrapText="1"/>
    </xf>
    <xf numFmtId="0" fontId="0" fillId="0" borderId="20" xfId="0" applyFont="1" applyBorder="1" applyAlignment="1">
      <alignment vertical="top" wrapText="1"/>
    </xf>
    <xf numFmtId="0" fontId="0" fillId="0" borderId="21" xfId="0" applyFont="1" applyBorder="1" applyAlignment="1">
      <alignment vertical="top" wrapText="1"/>
    </xf>
    <xf numFmtId="49" fontId="2" fillId="3" borderId="22" xfId="0" applyNumberFormat="1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88F94E"/>
      <rgbColor rgb="FF60D836"/>
      <rgbColor rgb="FFFAE232"/>
      <rgbColor rgb="FFF8BA00"/>
      <rgbColor rgb="FFFE634D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aram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1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19" sqref="B19"/>
    </sheetView>
  </sheetViews>
  <sheetFormatPr baseColWidth="10" defaultColWidth="16.33203125" defaultRowHeight="20" customHeight="1" x14ac:dyDescent="0.15"/>
  <cols>
    <col min="1" max="1" width="34.5" style="1" customWidth="1"/>
    <col min="2" max="2" width="16.33203125" style="1" customWidth="1"/>
    <col min="3" max="3" width="22.83203125" style="1" customWidth="1"/>
    <col min="4" max="256" width="16.33203125" style="1" customWidth="1"/>
  </cols>
  <sheetData>
    <row r="1" spans="1:7" ht="27.75" customHeight="1" x14ac:dyDescent="0.15">
      <c r="A1" s="50" t="s">
        <v>0</v>
      </c>
      <c r="B1" s="50"/>
      <c r="C1" s="50"/>
      <c r="D1" s="50"/>
      <c r="E1" s="50"/>
      <c r="F1" s="50"/>
      <c r="G1" s="50"/>
    </row>
    <row r="2" spans="1:7" ht="20.5" customHeight="1" x14ac:dyDescent="0.15">
      <c r="A2" s="2"/>
      <c r="B2" s="3" t="s">
        <v>1</v>
      </c>
      <c r="C2" s="3" t="s">
        <v>2</v>
      </c>
      <c r="D2" s="3" t="s">
        <v>3</v>
      </c>
      <c r="E2" s="4"/>
      <c r="F2" s="5"/>
      <c r="G2" s="6"/>
    </row>
    <row r="3" spans="1:7" ht="20.25" customHeight="1" x14ac:dyDescent="0.15">
      <c r="A3" s="7"/>
      <c r="B3" s="8"/>
      <c r="C3" s="9"/>
      <c r="D3" s="9"/>
      <c r="E3" s="9"/>
      <c r="F3" s="10"/>
      <c r="G3" s="11"/>
    </row>
    <row r="4" spans="1:7" ht="20" customHeight="1" x14ac:dyDescent="0.15">
      <c r="A4" s="12" t="s">
        <v>4</v>
      </c>
      <c r="B4" s="13">
        <v>30</v>
      </c>
      <c r="C4" s="14" t="s">
        <v>5</v>
      </c>
      <c r="D4" s="15">
        <v>1</v>
      </c>
      <c r="E4" s="16"/>
      <c r="F4" s="17"/>
      <c r="G4" s="18"/>
    </row>
    <row r="5" spans="1:7" ht="20" customHeight="1" x14ac:dyDescent="0.15">
      <c r="A5" s="12" t="s">
        <v>6</v>
      </c>
      <c r="B5" s="19">
        <v>0.4</v>
      </c>
      <c r="C5" s="14" t="s">
        <v>7</v>
      </c>
      <c r="D5" s="15">
        <v>1</v>
      </c>
      <c r="E5" s="16"/>
      <c r="F5" s="17"/>
      <c r="G5" s="18"/>
    </row>
    <row r="6" spans="1:7" ht="20" customHeight="1" x14ac:dyDescent="0.15">
      <c r="A6" s="12" t="s">
        <v>8</v>
      </c>
      <c r="B6" s="20">
        <f>B5/B4</f>
        <v>1.3333333333333334E-2</v>
      </c>
      <c r="C6" s="14" t="s">
        <v>9</v>
      </c>
      <c r="D6" s="15">
        <v>1</v>
      </c>
      <c r="E6" s="16"/>
      <c r="F6" s="17"/>
      <c r="G6" s="18"/>
    </row>
    <row r="7" spans="1:7" ht="20" customHeight="1" x14ac:dyDescent="0.15">
      <c r="A7" s="21" t="s">
        <v>10</v>
      </c>
      <c r="B7" s="22">
        <v>30</v>
      </c>
      <c r="C7" s="23" t="s">
        <v>7</v>
      </c>
      <c r="D7" s="24">
        <f>B7/B5</f>
        <v>75</v>
      </c>
      <c r="E7" s="23" t="s">
        <v>11</v>
      </c>
      <c r="F7" s="17"/>
      <c r="G7" s="18"/>
    </row>
    <row r="8" spans="1:7" ht="20" customHeight="1" x14ac:dyDescent="0.15">
      <c r="A8" s="25" t="s">
        <v>12</v>
      </c>
      <c r="B8" s="26">
        <v>0.04</v>
      </c>
      <c r="C8" s="27" t="s">
        <v>13</v>
      </c>
      <c r="D8" s="28"/>
      <c r="E8" s="16"/>
      <c r="F8" s="17"/>
      <c r="G8" s="18"/>
    </row>
    <row r="9" spans="1:7" ht="20" customHeight="1" x14ac:dyDescent="0.15">
      <c r="A9" s="29"/>
      <c r="B9" s="26">
        <f>B8/3600</f>
        <v>1.1111111111111112E-5</v>
      </c>
      <c r="C9" s="27" t="s">
        <v>9</v>
      </c>
      <c r="D9" s="30">
        <f>B9/B6</f>
        <v>8.3333333333333328E-4</v>
      </c>
      <c r="E9" s="31" t="s">
        <v>14</v>
      </c>
      <c r="F9" s="32">
        <f>IF(D9&lt;0.5,1,0)</f>
        <v>1</v>
      </c>
      <c r="G9" s="18"/>
    </row>
    <row r="10" spans="1:7" ht="20" customHeight="1" x14ac:dyDescent="0.15">
      <c r="A10" s="21" t="s">
        <v>15</v>
      </c>
      <c r="B10" s="22">
        <v>0.04</v>
      </c>
      <c r="C10" s="23" t="s">
        <v>16</v>
      </c>
      <c r="D10" s="33"/>
      <c r="E10" s="16"/>
      <c r="F10" s="17"/>
      <c r="G10" s="18"/>
    </row>
    <row r="11" spans="1:7" ht="20" customHeight="1" x14ac:dyDescent="0.15">
      <c r="A11" s="34"/>
      <c r="B11" s="22">
        <f>B10/3600</f>
        <v>1.1111111111111112E-5</v>
      </c>
      <c r="C11" s="23" t="s">
        <v>17</v>
      </c>
      <c r="D11" s="24">
        <f>B11*B4</f>
        <v>3.3333333333333338E-4</v>
      </c>
      <c r="E11" s="16"/>
      <c r="F11" s="17"/>
      <c r="G11" s="18"/>
    </row>
    <row r="12" spans="1:7" ht="20" customHeight="1" x14ac:dyDescent="0.15">
      <c r="A12" s="25" t="s">
        <v>18</v>
      </c>
      <c r="B12" s="26">
        <v>0.01</v>
      </c>
      <c r="C12" s="27" t="s">
        <v>16</v>
      </c>
      <c r="D12" s="28"/>
      <c r="E12" s="16"/>
      <c r="F12" s="17"/>
      <c r="G12" s="18"/>
    </row>
    <row r="13" spans="1:7" ht="20" customHeight="1" x14ac:dyDescent="0.15">
      <c r="A13" s="29"/>
      <c r="B13" s="26">
        <f>B12/3600</f>
        <v>2.7777777777777779E-6</v>
      </c>
      <c r="C13" s="28"/>
      <c r="D13" s="30">
        <f>B13*B4</f>
        <v>8.3333333333333344E-5</v>
      </c>
      <c r="E13" s="16"/>
      <c r="F13" s="17"/>
      <c r="G13" s="18"/>
    </row>
    <row r="14" spans="1:7" ht="20" customHeight="1" x14ac:dyDescent="0.15">
      <c r="A14" s="21" t="s">
        <v>19</v>
      </c>
      <c r="B14" s="35">
        <v>1.5E-11</v>
      </c>
      <c r="C14" s="23" t="s">
        <v>20</v>
      </c>
      <c r="D14" s="24">
        <f>B14/(B5*B5)</f>
        <v>9.3749999999999986E-11</v>
      </c>
      <c r="E14" s="16"/>
      <c r="F14" s="17"/>
      <c r="G14" s="18"/>
    </row>
    <row r="15" spans="1:7" ht="20" customHeight="1" x14ac:dyDescent="0.15">
      <c r="A15" s="25" t="s">
        <v>21</v>
      </c>
      <c r="B15" s="26">
        <v>0.2</v>
      </c>
      <c r="C15" s="27" t="s">
        <v>22</v>
      </c>
      <c r="D15" s="30">
        <f>B15*B5</f>
        <v>8.0000000000000016E-2</v>
      </c>
      <c r="E15" s="16"/>
      <c r="F15" s="17"/>
      <c r="G15" s="18"/>
    </row>
    <row r="16" spans="1:7" ht="20" customHeight="1" x14ac:dyDescent="0.15">
      <c r="A16" s="21" t="s">
        <v>23</v>
      </c>
      <c r="B16" s="22">
        <v>350</v>
      </c>
      <c r="C16" s="23" t="s">
        <v>24</v>
      </c>
      <c r="D16" s="24">
        <f>B16/(B4/(B5*B5))</f>
        <v>1.8666666666666669</v>
      </c>
      <c r="E16" s="16"/>
      <c r="F16" s="17"/>
      <c r="G16" s="18"/>
    </row>
    <row r="17" spans="1:7" ht="20" customHeight="1" x14ac:dyDescent="0.15">
      <c r="A17" s="25" t="s">
        <v>25</v>
      </c>
      <c r="B17" s="26">
        <v>30</v>
      </c>
      <c r="C17" s="27" t="s">
        <v>24</v>
      </c>
      <c r="D17" s="30">
        <f>B17/(B4/(B5*B5))</f>
        <v>0.16000000000000003</v>
      </c>
      <c r="E17" s="16"/>
      <c r="F17" s="17"/>
      <c r="G17" s="18"/>
    </row>
    <row r="18" spans="1:7" ht="20" customHeight="1" x14ac:dyDescent="0.15">
      <c r="A18" s="21" t="s">
        <v>26</v>
      </c>
      <c r="B18" s="22">
        <v>1</v>
      </c>
      <c r="C18" s="23" t="s">
        <v>27</v>
      </c>
      <c r="D18" s="33"/>
      <c r="E18" s="16"/>
      <c r="F18" s="17"/>
      <c r="G18" s="18"/>
    </row>
    <row r="19" spans="1:7" ht="20" customHeight="1" x14ac:dyDescent="0.15">
      <c r="A19" s="34"/>
      <c r="B19" s="22">
        <f>B18*0.0001</f>
        <v>1E-4</v>
      </c>
      <c r="C19" s="23" t="s">
        <v>28</v>
      </c>
      <c r="D19" s="24">
        <f>B19/(B5*B5/B4)</f>
        <v>1.8749999999999999E-2</v>
      </c>
      <c r="E19" s="36" t="s">
        <v>29</v>
      </c>
      <c r="F19" s="37">
        <f>D19*3+0.5</f>
        <v>0.55625000000000002</v>
      </c>
      <c r="G19" s="18"/>
    </row>
    <row r="20" spans="1:7" ht="20" customHeight="1" x14ac:dyDescent="0.15">
      <c r="A20" s="38"/>
      <c r="B20" s="39"/>
      <c r="C20" s="16"/>
      <c r="D20" s="16"/>
      <c r="E20" s="16"/>
      <c r="F20" s="17"/>
      <c r="G20" s="18"/>
    </row>
    <row r="21" spans="1:7" ht="20.25" customHeight="1" x14ac:dyDescent="0.15">
      <c r="A21" s="40" t="s">
        <v>30</v>
      </c>
      <c r="B21" s="41">
        <v>1</v>
      </c>
      <c r="C21" s="42" t="s">
        <v>31</v>
      </c>
      <c r="D21" s="43">
        <f>B21*B5*B5*B5</f>
        <v>6.4000000000000015E-2</v>
      </c>
      <c r="E21" s="44"/>
      <c r="F21" s="45"/>
      <c r="G21" s="18"/>
    </row>
    <row r="22" spans="1:7" ht="20.25" customHeight="1" x14ac:dyDescent="0.15">
      <c r="A22" s="46" t="s">
        <v>32</v>
      </c>
      <c r="B22" s="47"/>
      <c r="C22" s="48"/>
      <c r="D22" s="48"/>
      <c r="E22" s="48"/>
      <c r="F22" s="48"/>
      <c r="G22" s="16"/>
    </row>
    <row r="23" spans="1:7" ht="20" customHeight="1" x14ac:dyDescent="0.15">
      <c r="A23" s="49" t="s">
        <v>33</v>
      </c>
      <c r="B23" s="20">
        <f>D7</f>
        <v>75</v>
      </c>
      <c r="C23" s="16"/>
      <c r="D23" s="16"/>
      <c r="E23" s="16"/>
      <c r="F23" s="16"/>
      <c r="G23" s="16"/>
    </row>
    <row r="24" spans="1:7" ht="20" customHeight="1" x14ac:dyDescent="0.15">
      <c r="A24" s="49" t="s">
        <v>29</v>
      </c>
      <c r="B24" s="20">
        <f>F19</f>
        <v>0.55625000000000002</v>
      </c>
      <c r="C24" s="16"/>
      <c r="D24" s="16"/>
      <c r="E24" s="16"/>
      <c r="F24" s="16"/>
      <c r="G24" s="16"/>
    </row>
    <row r="25" spans="1:7" ht="20" customHeight="1" x14ac:dyDescent="0.15">
      <c r="A25" s="49" t="s">
        <v>34</v>
      </c>
      <c r="B25" s="20">
        <f>D9</f>
        <v>8.3333333333333328E-4</v>
      </c>
      <c r="C25" s="16"/>
      <c r="D25" s="16"/>
      <c r="E25" s="16"/>
      <c r="F25" s="16"/>
      <c r="G25" s="16"/>
    </row>
    <row r="26" spans="1:7" ht="20" customHeight="1" x14ac:dyDescent="0.15">
      <c r="A26" s="49" t="s">
        <v>35</v>
      </c>
      <c r="B26" s="20">
        <f>D13</f>
        <v>8.3333333333333344E-5</v>
      </c>
      <c r="C26" s="16"/>
      <c r="D26" s="16"/>
      <c r="E26" s="16"/>
      <c r="F26" s="16"/>
      <c r="G26" s="16"/>
    </row>
    <row r="27" spans="1:7" ht="20" customHeight="1" x14ac:dyDescent="0.15">
      <c r="A27" s="49" t="s">
        <v>36</v>
      </c>
      <c r="B27" s="20">
        <f>D11</f>
        <v>3.3333333333333338E-4</v>
      </c>
      <c r="C27" s="16"/>
      <c r="D27" s="16"/>
      <c r="E27" s="16"/>
      <c r="F27" s="16"/>
      <c r="G27" s="16"/>
    </row>
    <row r="28" spans="1:7" ht="20" customHeight="1" x14ac:dyDescent="0.15">
      <c r="A28" s="49" t="s">
        <v>37</v>
      </c>
      <c r="B28" s="20">
        <f>D17</f>
        <v>0.16000000000000003</v>
      </c>
      <c r="C28" s="16"/>
      <c r="D28" s="16"/>
      <c r="E28" s="16"/>
      <c r="F28" s="16"/>
      <c r="G28" s="16"/>
    </row>
    <row r="29" spans="1:7" ht="20" customHeight="1" x14ac:dyDescent="0.15">
      <c r="A29" s="49" t="s">
        <v>38</v>
      </c>
      <c r="B29" s="20">
        <f>D15</f>
        <v>8.0000000000000016E-2</v>
      </c>
      <c r="C29" s="16"/>
      <c r="D29" s="16"/>
      <c r="E29" s="16"/>
      <c r="F29" s="16"/>
      <c r="G29" s="16"/>
    </row>
    <row r="30" spans="1:7" ht="20" customHeight="1" x14ac:dyDescent="0.15">
      <c r="A30" s="49" t="s">
        <v>39</v>
      </c>
      <c r="B30" s="20">
        <f>D14</f>
        <v>9.3749999999999986E-11</v>
      </c>
      <c r="C30" s="16"/>
      <c r="D30" s="16"/>
      <c r="E30" s="16"/>
      <c r="F30" s="16"/>
      <c r="G30" s="16"/>
    </row>
    <row r="31" spans="1:7" ht="20" customHeight="1" x14ac:dyDescent="0.15">
      <c r="A31" s="49" t="s">
        <v>40</v>
      </c>
      <c r="B31" s="20">
        <f>D16</f>
        <v>1.8666666666666669</v>
      </c>
      <c r="C31" s="16"/>
      <c r="D31" s="16"/>
      <c r="E31" s="16"/>
      <c r="F31" s="16"/>
      <c r="G31" s="16"/>
    </row>
  </sheetData>
  <mergeCells count="1">
    <mergeCell ref="A1:G1"/>
  </mergeCells>
  <hyperlinks>
    <hyperlink ref="A22" r:id="rId1" display="param.in" xr:uid="{00000000-0004-0000-0000-000000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Conversion from Physi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2022-06-16T14:05:49Z</dcterms:modified>
</cp:coreProperties>
</file>